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54125\Documents\COMPUTACION\Ingenieria de Software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22" i="1"/>
  <c r="C19" i="1"/>
  <c r="C16" i="1"/>
  <c r="C10" i="1"/>
  <c r="C7" i="1"/>
  <c r="C4" i="1"/>
  <c r="C26" i="1" l="1"/>
</calcChain>
</file>

<file path=xl/sharedStrings.xml><?xml version="1.0" encoding="utf-8"?>
<sst xmlns="http://schemas.openxmlformats.org/spreadsheetml/2006/main" count="60" uniqueCount="48">
  <si>
    <t xml:space="preserve">Diagrama de GANT </t>
  </si>
  <si>
    <t>Inicio</t>
  </si>
  <si>
    <t>Fin</t>
  </si>
  <si>
    <t>Gestión del proyecto y la configuración</t>
  </si>
  <si>
    <t xml:space="preserve">Planificación </t>
  </si>
  <si>
    <t xml:space="preserve">Seguimiento y control </t>
  </si>
  <si>
    <t>Fase I – Adquisición de requisitos</t>
  </si>
  <si>
    <t xml:space="preserve">Sesiones iniciales </t>
  </si>
  <si>
    <t xml:space="preserve">Sesiones de detalle </t>
  </si>
  <si>
    <t>Fase II – Modelado conceptual</t>
  </si>
  <si>
    <t xml:space="preserve">Identificación de componentes del modelo </t>
  </si>
  <si>
    <t xml:space="preserve">Integración de componentes del modelo </t>
  </si>
  <si>
    <t>Fase III – Diseño del sistema</t>
  </si>
  <si>
    <t xml:space="preserve">Definición de arquitectura </t>
  </si>
  <si>
    <t xml:space="preserve">Definición de componentes de arquitectura </t>
  </si>
  <si>
    <t>Fase IV – Implementación</t>
  </si>
  <si>
    <t xml:space="preserve">Selección de la herramienta </t>
  </si>
  <si>
    <t xml:space="preserve">Codificación </t>
  </si>
  <si>
    <t>Fase V – Evaluación</t>
  </si>
  <si>
    <t xml:space="preserve">Ejecución y análisis </t>
  </si>
  <si>
    <t>Desarrollo de la documentacion</t>
  </si>
  <si>
    <t xml:space="preserve">Armado del documento </t>
  </si>
  <si>
    <t xml:space="preserve">Revisión y corrección del trabajo </t>
  </si>
  <si>
    <t xml:space="preserve">Presentación final </t>
  </si>
  <si>
    <t>Total tiempo estimado del proyecto</t>
  </si>
  <si>
    <t>Actividades (Fase y Etapas)</t>
  </si>
  <si>
    <t>Duracion (Hrs)</t>
  </si>
  <si>
    <t>Fecha Inicio</t>
  </si>
  <si>
    <t>Fecha Fin</t>
  </si>
  <si>
    <t>24/2/2014</t>
  </si>
  <si>
    <t>17/2/2014</t>
  </si>
  <si>
    <t>21/2/2014</t>
  </si>
  <si>
    <t>27/2/2014</t>
  </si>
  <si>
    <t>31/3/2014</t>
  </si>
  <si>
    <t>20/2/2014</t>
  </si>
  <si>
    <t>23/2/2014</t>
  </si>
  <si>
    <t>25/2/2014</t>
  </si>
  <si>
    <t>13/3/2014</t>
  </si>
  <si>
    <t>20/3/2014</t>
  </si>
  <si>
    <t>21/3/2014</t>
  </si>
  <si>
    <t>28/3/2014</t>
  </si>
  <si>
    <t>16/4/2014</t>
  </si>
  <si>
    <t>17/4/2014</t>
  </si>
  <si>
    <t>25/4/2014</t>
  </si>
  <si>
    <t>28/4/2014</t>
  </si>
  <si>
    <t>15/5/2014</t>
  </si>
  <si>
    <t>19/5/2014</t>
  </si>
  <si>
    <t>30/5/2014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</si>
</sst>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2" formatCode="0.00;[Red]0.00"/>
    <numFmt numFmtId="173" formatCode="#,##0;[Red]#,##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5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" fillId="9" borderId="1" xfId="0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4" fontId="3" fillId="5" borderId="3" xfId="0" applyNumberFormat="1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172" fontId="0" fillId="7" borderId="9" xfId="0" applyNumberFormat="1" applyFill="1" applyBorder="1" applyAlignment="1">
      <alignment horizontal="center"/>
    </xf>
    <xf numFmtId="172" fontId="0" fillId="7" borderId="10" xfId="0" applyNumberForma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173" fontId="0" fillId="0" borderId="0" xfId="0" applyNumberFormat="1" applyFill="1" applyBorder="1" applyAlignment="1" applyProtection="1">
      <alignment horizontal="center"/>
      <protection locked="0" hidden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>
                <a:effectLst/>
              </a:rPr>
              <a:t>Actividades (Fase y Etapas)</a:t>
            </a:r>
            <a:r>
              <a:rPr lang="en-US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 </a:t>
            </a:r>
            <a:endParaRPr lang="en-US"/>
          </a:p>
        </c:rich>
      </c:tx>
      <c:layout>
        <c:manualLayout>
          <c:xMode val="edge"/>
          <c:yMode val="edge"/>
          <c:x val="1.7579367148841677E-2"/>
          <c:y val="0.783002352276240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834240389069013"/>
          <c:y val="6.9740544726991094E-3"/>
          <c:w val="0.74865765400648443"/>
          <c:h val="0.71433019233251593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Sheet1!$B$3</c:f>
              <c:strCache>
                <c:ptCount val="1"/>
                <c:pt idx="0">
                  <c:v>Inicio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Sheet1!$A$4:$A$25</c:f>
              <c:strCache>
                <c:ptCount val="22"/>
                <c:pt idx="0">
                  <c:v>Gestión del proyecto y la configuración</c:v>
                </c:pt>
                <c:pt idx="1">
                  <c:v>Planificación </c:v>
                </c:pt>
                <c:pt idx="2">
                  <c:v>Seguimiento y control </c:v>
                </c:pt>
                <c:pt idx="3">
                  <c:v>Fase I – Adquisición de requisitos</c:v>
                </c:pt>
                <c:pt idx="4">
                  <c:v>Sesiones iniciales </c:v>
                </c:pt>
                <c:pt idx="5">
                  <c:v>Sesiones de detalle </c:v>
                </c:pt>
                <c:pt idx="6">
                  <c:v>Fase II – Modelado conceptual</c:v>
                </c:pt>
                <c:pt idx="7">
                  <c:v>Identificación de componentes del modelo </c:v>
                </c:pt>
                <c:pt idx="8">
                  <c:v>Integración de componentes del modelo </c:v>
                </c:pt>
                <c:pt idx="9">
                  <c:v>Fase III – Diseño del sistema</c:v>
                </c:pt>
                <c:pt idx="10">
                  <c:v>Definición de arquitectura </c:v>
                </c:pt>
                <c:pt idx="11">
                  <c:v>Definición de componentes de arquitectura </c:v>
                </c:pt>
                <c:pt idx="12">
                  <c:v>Fase IV – Implementación</c:v>
                </c:pt>
                <c:pt idx="13">
                  <c:v>Selección de la herramienta </c:v>
                </c:pt>
                <c:pt idx="14">
                  <c:v>Codificación </c:v>
                </c:pt>
                <c:pt idx="15">
                  <c:v>Fase V – Evaluación</c:v>
                </c:pt>
                <c:pt idx="16">
                  <c:v>Planificación </c:v>
                </c:pt>
                <c:pt idx="17">
                  <c:v>Ejecución y análisis </c:v>
                </c:pt>
                <c:pt idx="18">
                  <c:v>Desarrollo de la documentacion</c:v>
                </c:pt>
                <c:pt idx="19">
                  <c:v>Armado del documento </c:v>
                </c:pt>
                <c:pt idx="20">
                  <c:v>Revisión y corrección del trabajo </c:v>
                </c:pt>
                <c:pt idx="21">
                  <c:v>Presentación final </c:v>
                </c:pt>
              </c:strCache>
            </c:strRef>
          </c:cat>
          <c:val>
            <c:numRef>
              <c:f>Sheet1!$B$4:$B$25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m/d/yyyy">
                  <c:v>41701</c:v>
                </c:pt>
                <c:pt idx="7" formatCode="m/d/yyyy">
                  <c:v>41701</c:v>
                </c:pt>
                <c:pt idx="8" formatCode="m/d/yyyy">
                  <c:v>41915</c:v>
                </c:pt>
                <c:pt idx="9" formatCode="m/d/yyyy">
                  <c:v>0</c:v>
                </c:pt>
                <c:pt idx="10" formatCode="m/d/yyyy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 formatCode="m/d/yyyy">
                  <c:v>41702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 formatCode="m/d/yyyy">
                  <c:v>41764</c:v>
                </c:pt>
                <c:pt idx="19" formatCode="m/d/yyyy">
                  <c:v>41764</c:v>
                </c:pt>
                <c:pt idx="20" formatCode="m/d/yyyy">
                  <c:v>41978</c:v>
                </c:pt>
                <c:pt idx="21">
                  <c:v>0</c:v>
                </c:pt>
              </c:numCache>
            </c:numRef>
          </c:val>
        </c:ser>
        <c:ser>
          <c:idx val="2"/>
          <c:order val="1"/>
          <c:tx>
            <c:strRef>
              <c:f>Sheet1!$C$3</c:f>
              <c:strCache>
                <c:ptCount val="1"/>
                <c:pt idx="0">
                  <c:v>Duracion (Hrs)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Sheet1!$A$4:$A$25</c:f>
              <c:strCache>
                <c:ptCount val="22"/>
                <c:pt idx="0">
                  <c:v>Gestión del proyecto y la configuración</c:v>
                </c:pt>
                <c:pt idx="1">
                  <c:v>Planificación </c:v>
                </c:pt>
                <c:pt idx="2">
                  <c:v>Seguimiento y control </c:v>
                </c:pt>
                <c:pt idx="3">
                  <c:v>Fase I – Adquisición de requisitos</c:v>
                </c:pt>
                <c:pt idx="4">
                  <c:v>Sesiones iniciales </c:v>
                </c:pt>
                <c:pt idx="5">
                  <c:v>Sesiones de detalle </c:v>
                </c:pt>
                <c:pt idx="6">
                  <c:v>Fase II – Modelado conceptual</c:v>
                </c:pt>
                <c:pt idx="7">
                  <c:v>Identificación de componentes del modelo </c:v>
                </c:pt>
                <c:pt idx="8">
                  <c:v>Integración de componentes del modelo </c:v>
                </c:pt>
                <c:pt idx="9">
                  <c:v>Fase III – Diseño del sistema</c:v>
                </c:pt>
                <c:pt idx="10">
                  <c:v>Definición de arquitectura </c:v>
                </c:pt>
                <c:pt idx="11">
                  <c:v>Definición de componentes de arquitectura </c:v>
                </c:pt>
                <c:pt idx="12">
                  <c:v>Fase IV – Implementación</c:v>
                </c:pt>
                <c:pt idx="13">
                  <c:v>Selección de la herramienta </c:v>
                </c:pt>
                <c:pt idx="14">
                  <c:v>Codificación </c:v>
                </c:pt>
                <c:pt idx="15">
                  <c:v>Fase V – Evaluación</c:v>
                </c:pt>
                <c:pt idx="16">
                  <c:v>Planificación </c:v>
                </c:pt>
                <c:pt idx="17">
                  <c:v>Ejecución y análisis </c:v>
                </c:pt>
                <c:pt idx="18">
                  <c:v>Desarrollo de la documentacion</c:v>
                </c:pt>
                <c:pt idx="19">
                  <c:v>Armado del documento </c:v>
                </c:pt>
                <c:pt idx="20">
                  <c:v>Revisión y corrección del trabajo </c:v>
                </c:pt>
                <c:pt idx="21">
                  <c:v>Presentación final </c:v>
                </c:pt>
              </c:strCache>
            </c:strRef>
          </c:cat>
          <c:val>
            <c:numRef>
              <c:f>Sheet1!$C$4:$C$25</c:f>
              <c:numCache>
                <c:formatCode>General</c:formatCode>
                <c:ptCount val="22"/>
                <c:pt idx="0">
                  <c:v>25</c:v>
                </c:pt>
                <c:pt idx="1">
                  <c:v>10</c:v>
                </c:pt>
                <c:pt idx="2">
                  <c:v>15</c:v>
                </c:pt>
                <c:pt idx="3">
                  <c:v>50</c:v>
                </c:pt>
                <c:pt idx="4">
                  <c:v>10</c:v>
                </c:pt>
                <c:pt idx="5">
                  <c:v>40</c:v>
                </c:pt>
                <c:pt idx="6">
                  <c:v>100</c:v>
                </c:pt>
                <c:pt idx="7">
                  <c:v>80</c:v>
                </c:pt>
                <c:pt idx="8">
                  <c:v>20</c:v>
                </c:pt>
                <c:pt idx="9">
                  <c:v>150</c:v>
                </c:pt>
                <c:pt idx="10">
                  <c:v>70</c:v>
                </c:pt>
                <c:pt idx="11">
                  <c:v>80</c:v>
                </c:pt>
                <c:pt idx="12">
                  <c:v>190</c:v>
                </c:pt>
                <c:pt idx="13">
                  <c:v>20</c:v>
                </c:pt>
                <c:pt idx="14">
                  <c:v>170</c:v>
                </c:pt>
                <c:pt idx="15">
                  <c:v>75</c:v>
                </c:pt>
                <c:pt idx="16">
                  <c:v>50</c:v>
                </c:pt>
                <c:pt idx="17">
                  <c:v>25</c:v>
                </c:pt>
                <c:pt idx="18">
                  <c:v>75</c:v>
                </c:pt>
                <c:pt idx="19">
                  <c:v>40</c:v>
                </c:pt>
                <c:pt idx="20">
                  <c:v>20</c:v>
                </c:pt>
                <c:pt idx="21">
                  <c:v>15</c:v>
                </c:pt>
              </c:numCache>
            </c:numRef>
          </c:val>
        </c:ser>
        <c:ser>
          <c:idx val="3"/>
          <c:order val="2"/>
          <c:tx>
            <c:strRef>
              <c:f>Sheet1!$D$3</c:f>
              <c:strCache>
                <c:ptCount val="1"/>
                <c:pt idx="0">
                  <c:v>Fin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Sheet1!$A$4:$A$25</c:f>
              <c:strCache>
                <c:ptCount val="22"/>
                <c:pt idx="0">
                  <c:v>Gestión del proyecto y la configuración</c:v>
                </c:pt>
                <c:pt idx="1">
                  <c:v>Planificación </c:v>
                </c:pt>
                <c:pt idx="2">
                  <c:v>Seguimiento y control </c:v>
                </c:pt>
                <c:pt idx="3">
                  <c:v>Fase I – Adquisición de requisitos</c:v>
                </c:pt>
                <c:pt idx="4">
                  <c:v>Sesiones iniciales </c:v>
                </c:pt>
                <c:pt idx="5">
                  <c:v>Sesiones de detalle </c:v>
                </c:pt>
                <c:pt idx="6">
                  <c:v>Fase II – Modelado conceptual</c:v>
                </c:pt>
                <c:pt idx="7">
                  <c:v>Identificación de componentes del modelo </c:v>
                </c:pt>
                <c:pt idx="8">
                  <c:v>Integración de componentes del modelo </c:v>
                </c:pt>
                <c:pt idx="9">
                  <c:v>Fase III – Diseño del sistema</c:v>
                </c:pt>
                <c:pt idx="10">
                  <c:v>Definición de arquitectura </c:v>
                </c:pt>
                <c:pt idx="11">
                  <c:v>Definición de componentes de arquitectura </c:v>
                </c:pt>
                <c:pt idx="12">
                  <c:v>Fase IV – Implementación</c:v>
                </c:pt>
                <c:pt idx="13">
                  <c:v>Selección de la herramienta </c:v>
                </c:pt>
                <c:pt idx="14">
                  <c:v>Codificación </c:v>
                </c:pt>
                <c:pt idx="15">
                  <c:v>Fase V – Evaluación</c:v>
                </c:pt>
                <c:pt idx="16">
                  <c:v>Planificación </c:v>
                </c:pt>
                <c:pt idx="17">
                  <c:v>Ejecución y análisis </c:v>
                </c:pt>
                <c:pt idx="18">
                  <c:v>Desarrollo de la documentacion</c:v>
                </c:pt>
                <c:pt idx="19">
                  <c:v>Armado del documento </c:v>
                </c:pt>
                <c:pt idx="20">
                  <c:v>Revisión y corrección del trabajo </c:v>
                </c:pt>
                <c:pt idx="21">
                  <c:v>Presentación final </c:v>
                </c:pt>
              </c:strCache>
            </c:strRef>
          </c:cat>
          <c:val>
            <c:numRef>
              <c:f>Sheet1!$D$4:$D$25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m/d/yyyy">
                  <c:v>41701</c:v>
                </c:pt>
                <c:pt idx="4">
                  <c:v>0</c:v>
                </c:pt>
                <c:pt idx="5" formatCode="m/d/yyyy">
                  <c:v>41701</c:v>
                </c:pt>
                <c:pt idx="6" formatCode="m/d/yyyy">
                  <c:v>41946</c:v>
                </c:pt>
                <c:pt idx="7" formatCode="m/d/yyyy">
                  <c:v>41823</c:v>
                </c:pt>
                <c:pt idx="8" formatCode="m/d/yyyy">
                  <c:v>41946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 formatCode="m/d/yyyy">
                  <c:v>41702</c:v>
                </c:pt>
                <c:pt idx="14">
                  <c:v>0</c:v>
                </c:pt>
                <c:pt idx="15" formatCode="m/d/yyyy">
                  <c:v>41675</c:v>
                </c:pt>
                <c:pt idx="16">
                  <c:v>0</c:v>
                </c:pt>
                <c:pt idx="17" formatCode="m/d/yyyy">
                  <c:v>41675</c:v>
                </c:pt>
                <c:pt idx="18">
                  <c:v>0</c:v>
                </c:pt>
                <c:pt idx="19" formatCode="m/d/yyyy">
                  <c:v>41887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-1429729824"/>
        <c:axId val="-1429730912"/>
      </c:barChart>
      <c:catAx>
        <c:axId val="-1429729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29730912"/>
        <c:crossesAt val="41687"/>
        <c:auto val="1"/>
        <c:lblAlgn val="ctr"/>
        <c:lblOffset val="100"/>
        <c:noMultiLvlLbl val="0"/>
      </c:catAx>
      <c:valAx>
        <c:axId val="-1429730912"/>
        <c:scaling>
          <c:orientation val="minMax"/>
          <c:max val="41789"/>
          <c:min val="41687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dd/mm/yyyy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29729824"/>
        <c:crosses val="autoZero"/>
        <c:crossBetween val="between"/>
        <c:majorUnit val="8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404811</xdr:colOff>
      <xdr:row>30</xdr:row>
      <xdr:rowOff>33336</xdr:rowOff>
    </xdr:from>
    <xdr:to>
      <xdr:col>13</xdr:col>
      <xdr:colOff>390525</xdr:colOff>
      <xdr:row>54</xdr:row>
      <xdr:rowOff>19049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F10" sqref="F10"/>
    </sheetView>
  </sheetViews>
  <sheetFormatPr defaultRowHeight="15" x14ac:dyDescent="0.25"/>
  <cols>
    <col min="1" max="1" width="35" customWidth="1"/>
    <col min="2" max="2" width="12.28515625" customWidth="1"/>
    <col min="3" max="3" width="18" customWidth="1"/>
    <col min="4" max="4" width="11.85546875" customWidth="1"/>
    <col min="8" max="8" width="9.7109375" bestFit="1" customWidth="1"/>
    <col min="9" max="9" width="11.5703125" customWidth="1"/>
  </cols>
  <sheetData>
    <row r="1" spans="1:5" ht="15.75" thickBot="1" x14ac:dyDescent="0.3">
      <c r="A1" s="11" t="s">
        <v>0</v>
      </c>
    </row>
    <row r="2" spans="1:5" ht="15.75" thickBot="1" x14ac:dyDescent="0.3">
      <c r="B2" s="21"/>
    </row>
    <row r="3" spans="1:5" ht="21.75" thickBot="1" x14ac:dyDescent="0.3">
      <c r="A3" s="5" t="s">
        <v>25</v>
      </c>
      <c r="B3" s="6" t="s">
        <v>1</v>
      </c>
      <c r="C3" s="7" t="s">
        <v>26</v>
      </c>
      <c r="D3" s="4" t="s">
        <v>2</v>
      </c>
    </row>
    <row r="4" spans="1:5" ht="15.75" thickBot="1" x14ac:dyDescent="0.3">
      <c r="A4" s="1" t="s">
        <v>3</v>
      </c>
      <c r="B4" s="8" t="s">
        <v>30</v>
      </c>
      <c r="C4" s="8">
        <f>SUM(C5:C6)</f>
        <v>25</v>
      </c>
      <c r="D4" s="8" t="s">
        <v>31</v>
      </c>
    </row>
    <row r="5" spans="1:5" ht="15.75" thickBot="1" x14ac:dyDescent="0.3">
      <c r="A5" s="2" t="s">
        <v>4</v>
      </c>
      <c r="B5" s="9" t="s">
        <v>30</v>
      </c>
      <c r="C5" s="9">
        <v>10</v>
      </c>
      <c r="D5" s="9" t="s">
        <v>34</v>
      </c>
      <c r="E5" s="16"/>
    </row>
    <row r="6" spans="1:5" ht="15.75" thickBot="1" x14ac:dyDescent="0.3">
      <c r="A6" s="2" t="s">
        <v>5</v>
      </c>
      <c r="B6" s="9" t="s">
        <v>31</v>
      </c>
      <c r="C6" s="9">
        <v>15</v>
      </c>
      <c r="D6" s="9" t="s">
        <v>35</v>
      </c>
      <c r="E6" s="16"/>
    </row>
    <row r="7" spans="1:5" ht="15.75" thickBot="1" x14ac:dyDescent="0.3">
      <c r="A7" s="1" t="s">
        <v>6</v>
      </c>
      <c r="B7" s="8" t="s">
        <v>29</v>
      </c>
      <c r="C7" s="8">
        <f>SUM(C8:C9)</f>
        <v>50</v>
      </c>
      <c r="D7" s="14">
        <v>41701</v>
      </c>
      <c r="E7" s="16"/>
    </row>
    <row r="8" spans="1:5" ht="15.75" thickBot="1" x14ac:dyDescent="0.3">
      <c r="A8" s="2" t="s">
        <v>7</v>
      </c>
      <c r="B8" s="9" t="s">
        <v>29</v>
      </c>
      <c r="C8" s="9">
        <v>10</v>
      </c>
      <c r="D8" s="9" t="s">
        <v>36</v>
      </c>
    </row>
    <row r="9" spans="1:5" ht="15.75" thickBot="1" x14ac:dyDescent="0.3">
      <c r="A9" s="2" t="s">
        <v>8</v>
      </c>
      <c r="B9" s="9" t="s">
        <v>32</v>
      </c>
      <c r="C9" s="9">
        <v>40</v>
      </c>
      <c r="D9" s="15">
        <v>41701</v>
      </c>
    </row>
    <row r="10" spans="1:5" ht="15.75" thickBot="1" x14ac:dyDescent="0.3">
      <c r="A10" s="1" t="s">
        <v>9</v>
      </c>
      <c r="B10" s="14">
        <v>41701</v>
      </c>
      <c r="C10" s="8">
        <f>SUM(C11:C12)</f>
        <v>100</v>
      </c>
      <c r="D10" s="14">
        <v>41946</v>
      </c>
    </row>
    <row r="11" spans="1:5" ht="15.75" thickBot="1" x14ac:dyDescent="0.3">
      <c r="A11" s="2" t="s">
        <v>10</v>
      </c>
      <c r="B11" s="15">
        <v>41701</v>
      </c>
      <c r="C11" s="9">
        <v>80</v>
      </c>
      <c r="D11" s="15">
        <v>41823</v>
      </c>
    </row>
    <row r="12" spans="1:5" ht="15.75" thickBot="1" x14ac:dyDescent="0.3">
      <c r="A12" s="2" t="s">
        <v>11</v>
      </c>
      <c r="B12" s="15">
        <v>41915</v>
      </c>
      <c r="C12" s="9">
        <v>20</v>
      </c>
      <c r="D12" s="15">
        <v>41946</v>
      </c>
    </row>
    <row r="13" spans="1:5" ht="15.75" thickBot="1" x14ac:dyDescent="0.3">
      <c r="A13" s="1" t="s">
        <v>12</v>
      </c>
      <c r="B13" s="14" t="s">
        <v>37</v>
      </c>
      <c r="C13" s="8">
        <f>SUM(C14:C15)</f>
        <v>150</v>
      </c>
      <c r="D13" s="8" t="s">
        <v>40</v>
      </c>
    </row>
    <row r="14" spans="1:5" ht="15.75" thickBot="1" x14ac:dyDescent="0.3">
      <c r="A14" s="2" t="s">
        <v>13</v>
      </c>
      <c r="B14" s="15" t="s">
        <v>37</v>
      </c>
      <c r="C14" s="9">
        <v>70</v>
      </c>
      <c r="D14" s="9" t="s">
        <v>38</v>
      </c>
    </row>
    <row r="15" spans="1:5" ht="15.75" thickBot="1" x14ac:dyDescent="0.3">
      <c r="A15" s="2" t="s">
        <v>14</v>
      </c>
      <c r="B15" s="9" t="s">
        <v>39</v>
      </c>
      <c r="C15" s="9">
        <v>80</v>
      </c>
      <c r="D15" s="9" t="s">
        <v>40</v>
      </c>
    </row>
    <row r="16" spans="1:5" ht="15.75" thickBot="1" x14ac:dyDescent="0.3">
      <c r="A16" s="1" t="s">
        <v>15</v>
      </c>
      <c r="B16" s="8" t="s">
        <v>33</v>
      </c>
      <c r="C16" s="8">
        <f>SUM(C17:C18)</f>
        <v>190</v>
      </c>
      <c r="D16" s="8" t="s">
        <v>41</v>
      </c>
    </row>
    <row r="17" spans="1:9" ht="15.75" thickBot="1" x14ac:dyDescent="0.3">
      <c r="A17" s="2" t="s">
        <v>16</v>
      </c>
      <c r="B17" s="9" t="s">
        <v>33</v>
      </c>
      <c r="C17" s="9">
        <v>20</v>
      </c>
      <c r="D17" s="15">
        <v>41702</v>
      </c>
      <c r="H17" s="16"/>
    </row>
    <row r="18" spans="1:9" ht="15.75" thickBot="1" x14ac:dyDescent="0.3">
      <c r="A18" s="2" t="s">
        <v>17</v>
      </c>
      <c r="B18" s="15">
        <v>41702</v>
      </c>
      <c r="C18" s="9">
        <v>170</v>
      </c>
      <c r="D18" s="9" t="s">
        <v>41</v>
      </c>
    </row>
    <row r="19" spans="1:9" ht="15.75" thickBot="1" x14ac:dyDescent="0.3">
      <c r="A19" s="1" t="s">
        <v>18</v>
      </c>
      <c r="B19" s="8" t="s">
        <v>42</v>
      </c>
      <c r="C19" s="8">
        <f>SUM(C20:C21)</f>
        <v>75</v>
      </c>
      <c r="D19" s="14">
        <v>41675</v>
      </c>
      <c r="I19" s="16"/>
    </row>
    <row r="20" spans="1:9" ht="15.75" thickBot="1" x14ac:dyDescent="0.3">
      <c r="A20" s="2" t="s">
        <v>4</v>
      </c>
      <c r="B20" s="9" t="s">
        <v>42</v>
      </c>
      <c r="C20" s="9">
        <v>50</v>
      </c>
      <c r="D20" s="9" t="s">
        <v>43</v>
      </c>
    </row>
    <row r="21" spans="1:9" ht="15.75" thickBot="1" x14ac:dyDescent="0.3">
      <c r="A21" s="2" t="s">
        <v>19</v>
      </c>
      <c r="B21" s="9" t="s">
        <v>44</v>
      </c>
      <c r="C21" s="9">
        <v>25</v>
      </c>
      <c r="D21" s="15">
        <v>41675</v>
      </c>
    </row>
    <row r="22" spans="1:9" ht="15.75" thickBot="1" x14ac:dyDescent="0.3">
      <c r="A22" s="1" t="s">
        <v>20</v>
      </c>
      <c r="B22" s="14">
        <v>41764</v>
      </c>
      <c r="C22" s="8">
        <f>SUM(C23:C25)</f>
        <v>75</v>
      </c>
      <c r="D22" s="8" t="s">
        <v>47</v>
      </c>
      <c r="I22" s="20"/>
    </row>
    <row r="23" spans="1:9" ht="15.75" thickBot="1" x14ac:dyDescent="0.3">
      <c r="A23" s="2" t="s">
        <v>21</v>
      </c>
      <c r="B23" s="15">
        <v>41764</v>
      </c>
      <c r="C23" s="9">
        <v>40</v>
      </c>
      <c r="D23" s="15">
        <v>41887</v>
      </c>
      <c r="I23" s="19"/>
    </row>
    <row r="24" spans="1:9" ht="15.75" thickBot="1" x14ac:dyDescent="0.3">
      <c r="A24" s="2" t="s">
        <v>22</v>
      </c>
      <c r="B24" s="15">
        <v>41978</v>
      </c>
      <c r="C24" s="9">
        <v>20</v>
      </c>
      <c r="D24" s="9" t="s">
        <v>45</v>
      </c>
    </row>
    <row r="25" spans="1:9" ht="15.75" thickBot="1" x14ac:dyDescent="0.3">
      <c r="A25" s="2" t="s">
        <v>23</v>
      </c>
      <c r="B25" s="9" t="s">
        <v>46</v>
      </c>
      <c r="C25" s="9">
        <v>15</v>
      </c>
      <c r="D25" s="9" t="s">
        <v>47</v>
      </c>
      <c r="I25" s="16"/>
    </row>
    <row r="26" spans="1:9" ht="15.75" thickBot="1" x14ac:dyDescent="0.3">
      <c r="A26" s="3" t="s">
        <v>24</v>
      </c>
      <c r="B26" s="10"/>
      <c r="C26" s="10">
        <f>SUM(C4,C7,C10,C13,C16,C19,C22)</f>
        <v>665</v>
      </c>
      <c r="D26" s="10"/>
    </row>
    <row r="27" spans="1:9" ht="15.75" thickBot="1" x14ac:dyDescent="0.3"/>
    <row r="28" spans="1:9" ht="15.75" thickBot="1" x14ac:dyDescent="0.3">
      <c r="B28" s="12" t="s">
        <v>27</v>
      </c>
      <c r="C28" s="17" t="s">
        <v>30</v>
      </c>
    </row>
    <row r="29" spans="1:9" ht="15.75" thickBot="1" x14ac:dyDescent="0.3">
      <c r="B29" s="13" t="s">
        <v>28</v>
      </c>
      <c r="C29" s="18" t="s">
        <v>47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d54125</dc:creator>
  <cp:lastModifiedBy>d54125</cp:lastModifiedBy>
  <dcterms:created xsi:type="dcterms:W3CDTF">2014-03-10T09:19:43Z</dcterms:created>
  <dcterms:modified xsi:type="dcterms:W3CDTF">2014-03-10T12:10:19Z</dcterms:modified>
</cp:coreProperties>
</file>